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觀念與名詞" sheetId="1" state="visible" r:id="rId3"/>
    <sheet name="公式整理" sheetId="2" state="visible" r:id="rId4"/>
    <sheet name="範例計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<sst xmlns="http://schemas.openxmlformats.org/spreadsheetml/2006/main" count="133" uniqueCount="122">
  <si>
    <t xml:space="preserve">年金與貨幣時間價值 — 觀念與名詞</t>
  </si>
  <si>
    <r>
      <rPr>
        <sz val="11"/>
        <color rgb="FF808080"/>
        <rFont val="WenQuanYi Zen Hei"/>
        <family val="2"/>
      </rPr>
      <t xml:space="preserve">資料來源</t>
    </r>
    <r>
      <rPr>
        <sz val="11"/>
        <color rgb="FF808080"/>
        <rFont val="Microsoft JhengHei"/>
        <family val="0"/>
        <charset val="1"/>
      </rPr>
      <t xml:space="preserve">:NTU SPECS(</t>
    </r>
    <r>
      <rPr>
        <sz val="11"/>
        <color rgb="FF808080"/>
        <rFont val="WenQuanYi Zen Hei"/>
        <family val="2"/>
      </rPr>
      <t xml:space="preserve">臺灣大學進修推廣學院</t>
    </r>
    <r>
      <rPr>
        <sz val="11"/>
        <color rgb="FF808080"/>
        <rFont val="Microsoft JhengHei"/>
        <family val="0"/>
        <charset val="1"/>
      </rPr>
      <t xml:space="preserve">)</t>
    </r>
    <r>
      <rPr>
        <sz val="11"/>
        <color rgb="FF808080"/>
        <rFont val="WenQuanYi Zen Hei"/>
        <family val="2"/>
      </rPr>
      <t xml:space="preserve">課程手寫筆記 </t>
    </r>
    <r>
      <rPr>
        <sz val="11"/>
        <color rgb="FF808080"/>
        <rFont val="Microsoft JhengHei"/>
        <family val="0"/>
        <charset val="1"/>
      </rPr>
      <t xml:space="preserve">PDF(</t>
    </r>
    <r>
      <rPr>
        <sz val="11"/>
        <color rgb="FF808080"/>
        <rFont val="WenQuanYi Zen Hei"/>
        <family val="2"/>
      </rPr>
      <t xml:space="preserve">共 </t>
    </r>
    <r>
      <rPr>
        <sz val="11"/>
        <color rgb="FF808080"/>
        <rFont val="Microsoft JhengHei"/>
        <family val="0"/>
        <charset val="1"/>
      </rPr>
      <t xml:space="preserve">2 </t>
    </r>
    <r>
      <rPr>
        <sz val="11"/>
        <color rgb="FF808080"/>
        <rFont val="WenQuanYi Zen Hei"/>
        <family val="2"/>
      </rPr>
      <t xml:space="preserve">頁</t>
    </r>
    <r>
      <rPr>
        <sz val="11"/>
        <color rgb="FF808080"/>
        <rFont val="Microsoft JhengHei"/>
        <family val="0"/>
        <charset val="1"/>
      </rPr>
      <t xml:space="preserve">),</t>
    </r>
    <r>
      <rPr>
        <sz val="11"/>
        <color rgb="FF808080"/>
        <rFont val="WenQuanYi Zen Hei"/>
        <family val="2"/>
      </rPr>
      <t xml:space="preserve">由使用者提供。</t>
    </r>
  </si>
  <si>
    <r>
      <rPr>
        <b val="true"/>
        <sz val="11"/>
        <color rgb="FFFFFFFF"/>
        <rFont val="WenQuanYi Zen Hei"/>
        <family val="2"/>
      </rPr>
      <t xml:space="preserve">名詞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中文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</si>
  <si>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英文</t>
  </si>
  <si>
    <r>
      <rPr>
        <b val="true"/>
        <sz val="11"/>
        <color rgb="FFFFFFFF"/>
        <rFont val="WenQuanYi Zen Hei"/>
        <family val="2"/>
      </rPr>
      <t xml:space="preserve">縮寫 </t>
    </r>
    <r>
      <rPr>
        <b val="true"/>
        <sz val="11"/>
        <color rgb="FFFFFFFF"/>
        <rFont val="Microsoft JhengHei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符號</t>
    </r>
  </si>
  <si>
    <r>
      <rPr>
        <b val="true"/>
        <sz val="11"/>
        <color rgb="FFFFFFFF"/>
        <rFont val="WenQuanYi Zen Hei"/>
        <family val="2"/>
      </rPr>
      <t xml:space="preserve">說明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依筆記內容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</si>
  <si>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年金</t>
  </si>
  <si>
    <t xml:space="preserve">Annuity</t>
  </si>
  <si>
    <t xml:space="preserve">—</t>
  </si>
  <si>
    <r>
      <rPr>
        <sz val="11"/>
        <color rgb="FF000000"/>
        <rFont val="WenQuanYi Zen Hei"/>
        <family val="2"/>
      </rPr>
      <t xml:space="preserve">每期固定的現金流量。依付款時點分為「期末年金」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每期期末付款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一般預設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與「期初年金」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每期期初付款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</si>
  <si>
    <t xml:space="preserve">每期付款金額</t>
  </si>
  <si>
    <t xml:space="preserve">Payment</t>
  </si>
  <si>
    <t xml:space="preserve">PMT</t>
  </si>
  <si>
    <r>
      <rPr>
        <sz val="11"/>
        <color rgb="FF000000"/>
        <rFont val="WenQuanYi Zen Hei"/>
        <family val="2"/>
      </rPr>
      <t xml:space="preserve">用來處理年金</t>
    </r>
    <r>
      <rPr>
        <sz val="11"/>
        <color rgb="FF000000"/>
        <rFont val="Microsoft JhengHei"/>
        <family val="0"/>
        <charset val="1"/>
      </rPr>
      <t xml:space="preserve">(Annuity)</t>
    </r>
    <r>
      <rPr>
        <sz val="11"/>
        <color rgb="FF000000"/>
        <rFont val="WenQuanYi Zen Hei"/>
        <family val="2"/>
      </rPr>
      <t xml:space="preserve">的計算。</t>
    </r>
  </si>
  <si>
    <t xml:space="preserve">終值</t>
  </si>
  <si>
    <t xml:space="preserve">Future Value</t>
  </si>
  <si>
    <t xml:space="preserve">FV</t>
  </si>
  <si>
    <t xml:space="preserve">把現在的錢換成未來的錢。</t>
  </si>
  <si>
    <t xml:space="preserve">現值</t>
  </si>
  <si>
    <t xml:space="preserve">Present Value</t>
  </si>
  <si>
    <t xml:space="preserve">PV</t>
  </si>
  <si>
    <r>
      <rPr>
        <sz val="11"/>
        <color rgb="FF000000"/>
        <rFont val="WenQuanYi Zen Hei"/>
        <family val="2"/>
      </rPr>
      <t xml:space="preserve">把未來的錢換成現在的錢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折現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</si>
  <si>
    <t xml:space="preserve">利率</t>
  </si>
  <si>
    <t xml:space="preserve">Rate</t>
  </si>
  <si>
    <t xml:space="preserve">r</t>
  </si>
  <si>
    <r>
      <rPr>
        <sz val="11"/>
        <color rgb="FF000000"/>
        <rFont val="WenQuanYi Zen Hei"/>
        <family val="2"/>
      </rPr>
      <t xml:space="preserve">折現時所使用的利率 </t>
    </r>
    <r>
      <rPr>
        <sz val="11"/>
        <color rgb="FF000000"/>
        <rFont val="Microsoft JhengHei"/>
        <family val="0"/>
        <charset val="1"/>
      </rPr>
      <t xml:space="preserve">r,</t>
    </r>
    <r>
      <rPr>
        <sz val="11"/>
        <color rgb="FF000000"/>
        <rFont val="WenQuanYi Zen Hei"/>
        <family val="2"/>
      </rPr>
      <t xml:space="preserve">也稱為「折現率」。</t>
    </r>
  </si>
  <si>
    <t xml:space="preserve">期數</t>
  </si>
  <si>
    <t xml:space="preserve">Number</t>
  </si>
  <si>
    <t xml:space="preserve">n</t>
  </si>
  <si>
    <r>
      <rPr>
        <sz val="11"/>
        <color rgb="FF000000"/>
        <rFont val="WenQuanYi Zen Hei"/>
        <family val="2"/>
      </rPr>
      <t xml:space="preserve">計息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複利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的期間數。</t>
    </r>
  </si>
  <si>
    <r>
      <rPr>
        <b val="true"/>
        <sz val="11"/>
        <color rgb="FF000000"/>
        <rFont val="WenQuanYi Zen Hei"/>
        <family val="2"/>
      </rPr>
      <t xml:space="preserve">牌告年利率</t>
    </r>
    <r>
      <rPr>
        <b val="true"/>
        <sz val="11"/>
        <color rgb="FF000000"/>
        <rFont val="Microsoft JhengHei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名目利率</t>
    </r>
    <r>
      <rPr>
        <b val="true"/>
        <sz val="11"/>
        <color rgb="FF000000"/>
        <rFont val="Microsoft JhengHei"/>
        <family val="0"/>
        <charset val="1"/>
      </rPr>
      <t xml:space="preserve">)</t>
    </r>
  </si>
  <si>
    <t xml:space="preserve">Annual Percentage Rate</t>
  </si>
  <si>
    <t xml:space="preserve">APR</t>
  </si>
  <si>
    <r>
      <rPr>
        <sz val="11"/>
        <color rgb="FF000000"/>
        <rFont val="WenQuanYi Zen Hei"/>
        <family val="2"/>
      </rPr>
      <t xml:space="preserve">借貸雙方在契約上所定義的利率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通常表現為利率</t>
    </r>
    <r>
      <rPr>
        <sz val="11"/>
        <color rgb="FF000000"/>
        <rFont val="Microsoft JhengHei"/>
        <family val="0"/>
        <charset val="1"/>
      </rPr>
      <t xml:space="preserve">(Rate, r)</t>
    </r>
    <r>
      <rPr>
        <sz val="11"/>
        <color rgb="FF000000"/>
        <rFont val="WenQuanYi Zen Hei"/>
        <family val="2"/>
      </rPr>
      <t xml:space="preserve">。</t>
    </r>
  </si>
  <si>
    <t xml:space="preserve">有效年利率</t>
  </si>
  <si>
    <t xml:space="preserve">Effective Annual Rate</t>
  </si>
  <si>
    <t xml:space="preserve">EAR</t>
  </si>
  <si>
    <r>
      <rPr>
        <sz val="11"/>
        <color rgb="FF000000"/>
        <rFont val="WenQuanYi Zen Hei"/>
        <family val="2"/>
      </rPr>
      <t xml:space="preserve">特定支付利息條件下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真正的利率水準。同一個 </t>
    </r>
    <r>
      <rPr>
        <sz val="11"/>
        <color rgb="FF000000"/>
        <rFont val="Microsoft JhengHei"/>
        <family val="0"/>
        <charset val="1"/>
      </rPr>
      <t xml:space="preserve">APR </t>
    </r>
    <r>
      <rPr>
        <sz val="11"/>
        <color rgb="FF000000"/>
        <rFont val="WenQuanYi Zen Hei"/>
        <family val="2"/>
      </rPr>
      <t xml:space="preserve">基於複利期間之不同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而有不同的 </t>
    </r>
    <r>
      <rPr>
        <sz val="11"/>
        <color rgb="FF000000"/>
        <rFont val="Microsoft JhengHei"/>
        <family val="0"/>
        <charset val="1"/>
      </rPr>
      <t xml:space="preserve">EAR</t>
    </r>
    <r>
      <rPr>
        <sz val="11"/>
        <color rgb="FF000000"/>
        <rFont val="WenQuanYi Zen Hei"/>
        <family val="2"/>
      </rPr>
      <t xml:space="preserve">。</t>
    </r>
  </si>
  <si>
    <t xml:space="preserve">本利平均攤還</t>
  </si>
  <si>
    <r>
      <rPr>
        <sz val="11"/>
        <color rgb="FF000000"/>
        <rFont val="WenQuanYi Zen Hei"/>
        <family val="2"/>
      </rPr>
      <t xml:space="preserve">把一筆現在的錢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換成未來一段期間的年金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例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WenQuanYi Zen Hei"/>
        <family val="2"/>
      </rPr>
      <t xml:space="preserve">房貸每月固定還款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</si>
  <si>
    <t xml:space="preserve">公式整理</t>
  </si>
  <si>
    <t xml:space="preserve">一、終值與現值</t>
  </si>
  <si>
    <t xml:space="preserve">項目</t>
  </si>
  <si>
    <t xml:space="preserve">公式</t>
  </si>
  <si>
    <t xml:space="preserve">說明</t>
  </si>
  <si>
    <r>
      <rPr>
        <b val="true"/>
        <sz val="11"/>
        <color rgb="FF000000"/>
        <rFont val="WenQuanYi Zen Hei"/>
        <family val="2"/>
      </rPr>
      <t xml:space="preserve">終值 </t>
    </r>
    <r>
      <rPr>
        <b val="true"/>
        <sz val="11"/>
        <color rgb="FF000000"/>
        <rFont val="Microsoft JhengHei"/>
        <family val="0"/>
        <charset val="1"/>
      </rPr>
      <t xml:space="preserve">FV</t>
    </r>
  </si>
  <si>
    <t xml:space="preserve">FV = PV × (1 + r)^n</t>
  </si>
  <si>
    <r>
      <rPr>
        <sz val="11"/>
        <color rgb="FF000000"/>
        <rFont val="WenQuanYi Zen Hei"/>
        <family val="2"/>
      </rPr>
      <t xml:space="preserve">求現在一筆錢</t>
    </r>
    <r>
      <rPr>
        <sz val="11"/>
        <color rgb="FF000000"/>
        <rFont val="Microsoft JhengHei"/>
        <family val="0"/>
        <charset val="1"/>
      </rPr>
      <t xml:space="preserve">(PV)</t>
    </r>
    <r>
      <rPr>
        <sz val="11"/>
        <color rgb="FF000000"/>
        <rFont val="WenQuanYi Zen Hei"/>
        <family val="2"/>
      </rPr>
      <t xml:space="preserve">在 </t>
    </r>
    <r>
      <rPr>
        <sz val="11"/>
        <color rgb="FF000000"/>
        <rFont val="Microsoft JhengHei"/>
        <family val="0"/>
        <charset val="1"/>
      </rPr>
      <t xml:space="preserve">n </t>
    </r>
    <r>
      <rPr>
        <sz val="11"/>
        <color rgb="FF000000"/>
        <rFont val="WenQuanYi Zen Hei"/>
        <family val="2"/>
      </rPr>
      <t xml:space="preserve">期後、利率 </t>
    </r>
    <r>
      <rPr>
        <sz val="11"/>
        <color rgb="FF000000"/>
        <rFont val="Microsoft JhengHei"/>
        <family val="0"/>
        <charset val="1"/>
      </rPr>
      <t xml:space="preserve">r </t>
    </r>
    <r>
      <rPr>
        <sz val="11"/>
        <color rgb="FF000000"/>
        <rFont val="WenQuanYi Zen Hei"/>
        <family val="2"/>
      </rPr>
      <t xml:space="preserve">之下的未來價值。</t>
    </r>
  </si>
  <si>
    <r>
      <rPr>
        <b val="true"/>
        <sz val="11"/>
        <color rgb="FF000000"/>
        <rFont val="WenQuanYi Zen Hei"/>
        <family val="2"/>
      </rPr>
      <t xml:space="preserve">現值 </t>
    </r>
    <r>
      <rPr>
        <b val="true"/>
        <sz val="11"/>
        <color rgb="FF000000"/>
        <rFont val="Microsoft JhengHei"/>
        <family val="0"/>
        <charset val="1"/>
      </rPr>
      <t xml:space="preserve">PV</t>
    </r>
  </si>
  <si>
    <t xml:space="preserve">PV = FV ÷ (1 + r)^n</t>
  </si>
  <si>
    <r>
      <rPr>
        <sz val="11"/>
        <color rgb="FF000000"/>
        <rFont val="WenQuanYi Zen Hei"/>
        <family val="2"/>
      </rPr>
      <t xml:space="preserve">把未來的錢折算回現在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折現</t>
    </r>
    <r>
      <rPr>
        <sz val="11"/>
        <color rgb="FF000000"/>
        <rFont val="Microsoft JhengHei"/>
        <family val="0"/>
        <charset val="1"/>
      </rPr>
      <t xml:space="preserve">);</t>
    </r>
    <r>
      <rPr>
        <sz val="11"/>
        <color rgb="FF000000"/>
        <rFont val="WenQuanYi Zen Hei"/>
        <family val="2"/>
      </rPr>
      <t xml:space="preserve">此時的 </t>
    </r>
    <r>
      <rPr>
        <sz val="11"/>
        <color rgb="FF000000"/>
        <rFont val="Microsoft JhengHei"/>
        <family val="0"/>
        <charset val="1"/>
      </rPr>
      <t xml:space="preserve">r </t>
    </r>
    <r>
      <rPr>
        <sz val="11"/>
        <color rgb="FF000000"/>
        <rFont val="WenQuanYi Zen Hei"/>
        <family val="2"/>
      </rPr>
      <t xml:space="preserve">稱為折現率。</t>
    </r>
  </si>
  <si>
    <r>
      <rPr>
        <b val="true"/>
        <sz val="12"/>
        <color rgb="FF1F4E79"/>
        <rFont val="WenQuanYi Zen Hei"/>
        <family val="2"/>
      </rPr>
      <t xml:space="preserve">二、有效年利率 </t>
    </r>
    <r>
      <rPr>
        <b val="true"/>
        <sz val="12"/>
        <color rgb="FF1F4E79"/>
        <rFont val="Microsoft JhengHei"/>
        <family val="0"/>
        <charset val="1"/>
      </rPr>
      <t xml:space="preserve">EAR</t>
    </r>
  </si>
  <si>
    <r>
      <rPr>
        <b val="true"/>
        <sz val="11"/>
        <color rgb="FF000000"/>
        <rFont val="Microsoft JhengHei"/>
        <family val="0"/>
        <charset val="1"/>
      </rPr>
      <t xml:space="preserve">EAR </t>
    </r>
    <r>
      <rPr>
        <b val="true"/>
        <sz val="11"/>
        <color rgb="FF000000"/>
        <rFont val="WenQuanYi Zen Hei"/>
        <family val="2"/>
      </rPr>
      <t xml:space="preserve">一般式</t>
    </r>
  </si>
  <si>
    <t xml:space="preserve">EAR = (1 + APR ÷ n)^n − 1</t>
  </si>
  <si>
    <r>
      <rPr>
        <sz val="11"/>
        <color rgb="FF000000"/>
        <rFont val="Microsoft JhengHei"/>
        <family val="0"/>
        <charset val="1"/>
      </rPr>
      <t xml:space="preserve">n = </t>
    </r>
    <r>
      <rPr>
        <sz val="11"/>
        <color rgb="FF000000"/>
        <rFont val="WenQuanYi Zen Hei"/>
        <family val="2"/>
      </rPr>
      <t xml:space="preserve">每年複利次數</t>
    </r>
    <r>
      <rPr>
        <sz val="11"/>
        <color rgb="FF000000"/>
        <rFont val="Microsoft JhengHei"/>
        <family val="0"/>
        <charset val="1"/>
      </rPr>
      <t xml:space="preserve">;</t>
    </r>
    <r>
      <rPr>
        <sz val="11"/>
        <color rgb="FF000000"/>
        <rFont val="WenQuanYi Zen Hei"/>
        <family val="2"/>
      </rPr>
      <t xml:space="preserve">亦可寫成 </t>
    </r>
    <r>
      <rPr>
        <sz val="11"/>
        <color rgb="FF000000"/>
        <rFont val="Microsoft JhengHei"/>
        <family val="0"/>
        <charset val="1"/>
      </rPr>
      <t xml:space="preserve">EAR = (1 + r/n)^n − 1</t>
    </r>
    <r>
      <rPr>
        <sz val="11"/>
        <color rgb="FF000000"/>
        <rFont val="WenQuanYi Zen Hei"/>
        <family val="2"/>
      </rPr>
      <t xml:space="preserve">。</t>
    </r>
  </si>
  <si>
    <r>
      <rPr>
        <b val="true"/>
        <sz val="11"/>
        <color rgb="FF000000"/>
        <rFont val="WenQuanYi Zen Hei"/>
        <family val="2"/>
      </rPr>
      <t xml:space="preserve">每年複利 </t>
    </r>
    <r>
      <rPr>
        <b val="true"/>
        <sz val="11"/>
        <color rgb="FF000000"/>
        <rFont val="Microsoft JhengHei"/>
        <family val="0"/>
        <charset val="1"/>
      </rPr>
      <t xml:space="preserve">1 </t>
    </r>
    <r>
      <rPr>
        <b val="true"/>
        <sz val="11"/>
        <color rgb="FF000000"/>
        <rFont val="WenQuanYi Zen Hei"/>
        <family val="2"/>
      </rPr>
      <t xml:space="preserve">次</t>
    </r>
  </si>
  <si>
    <t xml:space="preserve">EAR = (1 + APR/1)^1 − 1 = APR</t>
  </si>
  <si>
    <r>
      <rPr>
        <sz val="11"/>
        <color rgb="FF000000"/>
        <rFont val="WenQuanYi Zen Hei"/>
        <family val="2"/>
      </rPr>
      <t xml:space="preserve">一年只複利一次時</t>
    </r>
    <r>
      <rPr>
        <sz val="11"/>
        <color rgb="FF000000"/>
        <rFont val="Microsoft JhengHei"/>
        <family val="0"/>
        <charset val="1"/>
      </rPr>
      <t xml:space="preserve">,EAR </t>
    </r>
    <r>
      <rPr>
        <sz val="11"/>
        <color rgb="FF000000"/>
        <rFont val="WenQuanYi Zen Hei"/>
        <family val="2"/>
      </rPr>
      <t xml:space="preserve">與 </t>
    </r>
    <r>
      <rPr>
        <sz val="11"/>
        <color rgb="FF000000"/>
        <rFont val="Microsoft JhengHei"/>
        <family val="0"/>
        <charset val="1"/>
      </rPr>
      <t xml:space="preserve">APR </t>
    </r>
    <r>
      <rPr>
        <sz val="11"/>
        <color rgb="FF000000"/>
        <rFont val="WenQuanYi Zen Hei"/>
        <family val="2"/>
      </rPr>
      <t xml:space="preserve">相等。</t>
    </r>
  </si>
  <si>
    <r>
      <rPr>
        <b val="true"/>
        <sz val="11"/>
        <color rgb="FF000000"/>
        <rFont val="WenQuanYi Zen Hei"/>
        <family val="2"/>
      </rPr>
      <t xml:space="preserve">每年複利 </t>
    </r>
    <r>
      <rPr>
        <b val="true"/>
        <sz val="11"/>
        <color rgb="FF000000"/>
        <rFont val="Microsoft JhengHei"/>
        <family val="0"/>
        <charset val="1"/>
      </rPr>
      <t xml:space="preserve">2 </t>
    </r>
    <r>
      <rPr>
        <b val="true"/>
        <sz val="11"/>
        <color rgb="FF000000"/>
        <rFont val="WenQuanYi Zen Hei"/>
        <family val="2"/>
      </rPr>
      <t xml:space="preserve">次</t>
    </r>
  </si>
  <si>
    <t xml:space="preserve">EAR = (1 + APR/2)^2 − 1 &gt; APR</t>
  </si>
  <si>
    <r>
      <rPr>
        <sz val="11"/>
        <color rgb="FF000000"/>
        <rFont val="WenQuanYi Zen Hei"/>
        <family val="2"/>
      </rPr>
      <t xml:space="preserve">複利次數愈多</t>
    </r>
    <r>
      <rPr>
        <sz val="11"/>
        <color rgb="FF000000"/>
        <rFont val="Microsoft JhengHei"/>
        <family val="0"/>
        <charset val="1"/>
      </rPr>
      <t xml:space="preserve">,EAR </t>
    </r>
    <r>
      <rPr>
        <sz val="11"/>
        <color rgb="FF000000"/>
        <rFont val="WenQuanYi Zen Hei"/>
        <family val="2"/>
      </rPr>
      <t xml:space="preserve">愈大於 </t>
    </r>
    <r>
      <rPr>
        <sz val="11"/>
        <color rgb="FF000000"/>
        <rFont val="Microsoft JhengHei"/>
        <family val="0"/>
        <charset val="1"/>
      </rPr>
      <t xml:space="preserve">APR</t>
    </r>
    <r>
      <rPr>
        <sz val="11"/>
        <color rgb="FF000000"/>
        <rFont val="WenQuanYi Zen Hei"/>
        <family val="2"/>
      </rPr>
      <t xml:space="preserve">。</t>
    </r>
  </si>
  <si>
    <r>
      <rPr>
        <b val="true"/>
        <sz val="11"/>
        <color rgb="FF000000"/>
        <rFont val="WenQuanYi Zen Hei"/>
        <family val="2"/>
      </rPr>
      <t xml:space="preserve">例</t>
    </r>
    <r>
      <rPr>
        <b val="true"/>
        <sz val="11"/>
        <color rgb="FF000000"/>
        <rFont val="Microsoft JhengHei"/>
        <family val="0"/>
        <charset val="1"/>
      </rPr>
      <t xml:space="preserve">:</t>
    </r>
    <r>
      <rPr>
        <b val="true"/>
        <sz val="11"/>
        <color rgb="FF000000"/>
        <rFont val="WenQuanYi Zen Hei"/>
        <family val="2"/>
      </rPr>
      <t xml:space="preserve">信用卡循環利率</t>
    </r>
  </si>
  <si>
    <r>
      <rPr>
        <sz val="11"/>
        <color rgb="FF000000"/>
        <rFont val="Microsoft JhengHei"/>
        <family val="0"/>
        <charset val="1"/>
      </rPr>
      <t xml:space="preserve">APR = 15%,</t>
    </r>
    <r>
      <rPr>
        <sz val="11"/>
        <color rgb="FF000000"/>
        <rFont val="WenQuanYi Zen Hei"/>
        <family val="2"/>
      </rPr>
      <t xml:space="preserve">每月計息一次 → </t>
    </r>
    <r>
      <rPr>
        <sz val="11"/>
        <color rgb="FF000000"/>
        <rFont val="Microsoft JhengHei"/>
        <family val="0"/>
        <charset val="1"/>
      </rPr>
      <t xml:space="preserve">EAR = (1 + 15%/12)^12 − 1 = (1.0125)^12 − 1 = 16.08%</t>
    </r>
  </si>
  <si>
    <r>
      <rPr>
        <sz val="11"/>
        <color rgb="FF000000"/>
        <rFont val="WenQuanYi Zen Hei"/>
        <family val="2"/>
      </rPr>
      <t xml:space="preserve">見「範例計算」工作表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可實際重算。</t>
    </r>
  </si>
  <si>
    <r>
      <rPr>
        <b val="true"/>
        <sz val="12"/>
        <color rgb="FF1F4E79"/>
        <rFont val="WenQuanYi Zen Hei"/>
        <family val="2"/>
      </rPr>
      <t xml:space="preserve">三、</t>
    </r>
    <r>
      <rPr>
        <b val="true"/>
        <sz val="12"/>
        <color rgb="FF1F4E79"/>
        <rFont val="Microsoft JhengHei"/>
        <family val="0"/>
        <charset val="1"/>
      </rPr>
      <t xml:space="preserve">Excel </t>
    </r>
    <r>
      <rPr>
        <b val="true"/>
        <sz val="12"/>
        <color rgb="FF1F4E79"/>
        <rFont val="WenQuanYi Zen Hei"/>
        <family val="2"/>
      </rPr>
      <t xml:space="preserve">財務函數</t>
    </r>
  </si>
  <si>
    <t xml:space="preserve">函數</t>
  </si>
  <si>
    <t xml:space="preserve">語法</t>
  </si>
  <si>
    <t xml:space="preserve">用途</t>
  </si>
  <si>
    <r>
      <rPr>
        <b val="true"/>
        <sz val="11"/>
        <color rgb="FF000000"/>
        <rFont val="WenQuanYi Zen Hei"/>
        <family val="2"/>
      </rPr>
      <t xml:space="preserve">終值函數 </t>
    </r>
    <r>
      <rPr>
        <b val="true"/>
        <sz val="11"/>
        <color rgb="FF000000"/>
        <rFont val="Microsoft JhengHei"/>
        <family val="0"/>
        <charset val="1"/>
      </rPr>
      <t xml:space="preserve">FV</t>
    </r>
  </si>
  <si>
    <t xml:space="preserve">=FV(rate, nper, pmt, -pv, [type])</t>
  </si>
  <si>
    <r>
      <rPr>
        <sz val="11"/>
        <color rgb="FF000000"/>
        <rFont val="WenQuanYi Zen Hei"/>
        <family val="2"/>
      </rPr>
      <t xml:space="preserve">求「現在一筆錢」的未來價值</t>
    </r>
    <r>
      <rPr>
        <sz val="11"/>
        <color rgb="FF000000"/>
        <rFont val="Microsoft JhengHei"/>
        <family val="0"/>
        <charset val="1"/>
      </rPr>
      <t xml:space="preserve">(PV → FV)</t>
    </r>
    <r>
      <rPr>
        <sz val="11"/>
        <color rgb="FF000000"/>
        <rFont val="WenQuanYi Zen Hei"/>
        <family val="2"/>
      </rPr>
      <t xml:space="preserve">。</t>
    </r>
  </si>
  <si>
    <r>
      <rPr>
        <b val="true"/>
        <sz val="11"/>
        <color rgb="FF000000"/>
        <rFont val="WenQuanYi Zen Hei"/>
        <family val="2"/>
      </rPr>
      <t xml:space="preserve">現值函數 </t>
    </r>
    <r>
      <rPr>
        <b val="true"/>
        <sz val="11"/>
        <color rgb="FF000000"/>
        <rFont val="Microsoft JhengHei"/>
        <family val="0"/>
        <charset val="1"/>
      </rPr>
      <t xml:space="preserve">PV</t>
    </r>
  </si>
  <si>
    <t xml:space="preserve">=PV(rate, nper, pmt, -fv, [type])</t>
  </si>
  <si>
    <r>
      <rPr>
        <sz val="11"/>
        <color rgb="FF000000"/>
        <rFont val="WenQuanYi Zen Hei"/>
        <family val="2"/>
      </rPr>
      <t xml:space="preserve">求「未來一筆錢」的現在價值</t>
    </r>
    <r>
      <rPr>
        <sz val="11"/>
        <color rgb="FF000000"/>
        <rFont val="Microsoft JhengHei"/>
        <family val="0"/>
        <charset val="1"/>
      </rPr>
      <t xml:space="preserve">(FV → PV),</t>
    </r>
    <r>
      <rPr>
        <sz val="11"/>
        <color rgb="FF000000"/>
        <rFont val="WenQuanYi Zen Hei"/>
        <family val="2"/>
      </rPr>
      <t xml:space="preserve">即折現。</t>
    </r>
  </si>
  <si>
    <r>
      <rPr>
        <b val="true"/>
        <sz val="11"/>
        <color rgb="FF000000"/>
        <rFont val="WenQuanYi Zen Hei"/>
        <family val="2"/>
      </rPr>
      <t xml:space="preserve">付款函數 </t>
    </r>
    <r>
      <rPr>
        <b val="true"/>
        <sz val="11"/>
        <color rgb="FF000000"/>
        <rFont val="Microsoft JhengHei"/>
        <family val="0"/>
        <charset val="1"/>
      </rPr>
      <t xml:space="preserve">PMT</t>
    </r>
  </si>
  <si>
    <t xml:space="preserve">=PMT(rate, nper, -pv)</t>
  </si>
  <si>
    <r>
      <rPr>
        <sz val="11"/>
        <color rgb="FF000000"/>
        <rFont val="WenQuanYi Zen Hei"/>
        <family val="2"/>
      </rPr>
      <t xml:space="preserve">本利平均攤還</t>
    </r>
    <r>
      <rPr>
        <sz val="11"/>
        <color rgb="FF000000"/>
        <rFont val="Microsoft JhengHei"/>
        <family val="0"/>
        <charset val="1"/>
      </rPr>
      <t xml:space="preserve">:</t>
    </r>
    <r>
      <rPr>
        <sz val="11"/>
        <color rgb="FF000000"/>
        <rFont val="WenQuanYi Zen Hei"/>
        <family val="2"/>
      </rPr>
      <t xml:space="preserve">把一筆現在的錢</t>
    </r>
    <r>
      <rPr>
        <sz val="11"/>
        <color rgb="FF000000"/>
        <rFont val="Microsoft JhengHei"/>
        <family val="0"/>
        <charset val="1"/>
      </rPr>
      <t xml:space="preserve">(PV)</t>
    </r>
    <r>
      <rPr>
        <sz val="11"/>
        <color rgb="FF000000"/>
        <rFont val="WenQuanYi Zen Hei"/>
        <family val="2"/>
      </rPr>
      <t xml:space="preserve">換成未來一段期間、每期固定的年金</t>
    </r>
    <r>
      <rPr>
        <sz val="11"/>
        <color rgb="FF000000"/>
        <rFont val="Microsoft JhengHei"/>
        <family val="0"/>
        <charset val="1"/>
      </rPr>
      <t xml:space="preserve">(PMT)</t>
    </r>
    <r>
      <rPr>
        <sz val="11"/>
        <color rgb="FF000000"/>
        <rFont val="WenQuanYi Zen Hei"/>
        <family val="2"/>
      </rPr>
      <t xml:space="preserve">。</t>
    </r>
  </si>
  <si>
    <t xml:space="preserve">四、函數引數說明</t>
  </si>
  <si>
    <t xml:space="preserve">引數</t>
  </si>
  <si>
    <t xml:space="preserve">意義</t>
  </si>
  <si>
    <t xml:space="preserve">備註</t>
  </si>
  <si>
    <t xml:space="preserve">rate</t>
  </si>
  <si>
    <r>
      <rPr>
        <sz val="11"/>
        <color rgb="FF000000"/>
        <rFont val="WenQuanYi Zen Hei"/>
        <family val="2"/>
      </rPr>
      <t xml:space="preserve">利率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每期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</si>
  <si>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若為年利率、每月計息</t>
    </r>
    <r>
      <rPr>
        <sz val="11"/>
        <color rgb="FF000000"/>
        <rFont val="Microsoft JhengHei"/>
        <family val="0"/>
        <charset val="1"/>
      </rPr>
      <t xml:space="preserve">,</t>
    </r>
    <r>
      <rPr>
        <sz val="11"/>
        <color rgb="FF000000"/>
        <rFont val="WenQuanYi Zen Hei"/>
        <family val="2"/>
      </rPr>
      <t xml:space="preserve">需除以 </t>
    </r>
    <r>
      <rPr>
        <sz val="11"/>
        <color rgb="FF000000"/>
        <rFont val="Microsoft JhengHei"/>
        <family val="0"/>
        <charset val="1"/>
      </rPr>
      <t xml:space="preserve">12(</t>
    </r>
    <r>
      <rPr>
        <sz val="11"/>
        <color rgb="FF000000"/>
        <rFont val="WenQuanYi Zen Hei"/>
        <family val="2"/>
      </rPr>
      <t xml:space="preserve">例</t>
    </r>
    <r>
      <rPr>
        <sz val="11"/>
        <color rgb="FF000000"/>
        <rFont val="Microsoft JhengHei"/>
        <family val="0"/>
        <charset val="1"/>
      </rPr>
      <t xml:space="preserve">:0.02185/12)</t>
    </r>
    <r>
      <rPr>
        <sz val="11"/>
        <color rgb="FF000000"/>
        <rFont val="WenQuanYi Zen Hei"/>
        <family val="2"/>
      </rPr>
      <t xml:space="preserve">。</t>
    </r>
  </si>
  <si>
    <t xml:space="preserve">nper</t>
  </si>
  <si>
    <r>
      <rPr>
        <sz val="11"/>
        <color rgb="FF000000"/>
        <rFont val="WenQuanYi Zen Hei"/>
        <family val="2"/>
      </rPr>
      <t xml:space="preserve">總期數 </t>
    </r>
    <r>
      <rPr>
        <sz val="11"/>
        <color rgb="FF000000"/>
        <rFont val="Microsoft JhengHei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年數 </t>
    </r>
    <r>
      <rPr>
        <sz val="11"/>
        <color rgb="FF000000"/>
        <rFont val="Microsoft JhengHei"/>
        <family val="0"/>
        <charset val="1"/>
      </rPr>
      <t xml:space="preserve">× </t>
    </r>
    <r>
      <rPr>
        <sz val="11"/>
        <color rgb="FF000000"/>
        <rFont val="WenQuanYi Zen Hei"/>
        <family val="2"/>
      </rPr>
      <t xml:space="preserve">每年期數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例</t>
    </r>
    <r>
      <rPr>
        <sz val="11"/>
        <color rgb="FF000000"/>
        <rFont val="Microsoft JhengHei"/>
        <family val="0"/>
        <charset val="1"/>
      </rPr>
      <t xml:space="preserve">:12 × 20 = 240)</t>
    </r>
    <r>
      <rPr>
        <sz val="11"/>
        <color rgb="FF000000"/>
        <rFont val="WenQuanYi Zen Hei"/>
        <family val="2"/>
      </rPr>
      <t xml:space="preserve">。</t>
    </r>
  </si>
  <si>
    <t xml:space="preserve">pmt</t>
  </si>
  <si>
    <r>
      <rPr>
        <sz val="11"/>
        <color rgb="FF000000"/>
        <rFont val="WenQuanYi Zen Hei"/>
        <family val="2"/>
      </rPr>
      <t xml:space="preserve">年金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每期付款金額</t>
    </r>
    <r>
      <rPr>
        <sz val="11"/>
        <color rgb="FF000000"/>
        <rFont val="Microsoft JhengHei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</si>
  <si>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沒有每期付款時填 </t>
    </r>
    <r>
      <rPr>
        <sz val="11"/>
        <color rgb="FF000000"/>
        <rFont val="Microsoft JhengHei"/>
        <family val="0"/>
        <charset val="1"/>
      </rPr>
      <t xml:space="preserve">0 </t>
    </r>
    <r>
      <rPr>
        <sz val="11"/>
        <color rgb="FF000000"/>
        <rFont val="WenQuanYi Zen Hei"/>
        <family val="2"/>
      </rPr>
      <t xml:space="preserve">或省略。</t>
    </r>
  </si>
  <si>
    <t xml:space="preserve">pv / fv</t>
  </si>
  <si>
    <r>
      <rPr>
        <sz val="11"/>
        <color rgb="FF000000"/>
        <rFont val="WenQuanYi Zen Hei"/>
        <family val="2"/>
      </rPr>
      <t xml:space="preserve">本金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現值</t>
    </r>
    <r>
      <rPr>
        <sz val="11"/>
        <color rgb="FF000000"/>
        <rFont val="Microsoft JhengHei"/>
        <family val="0"/>
        <charset val="1"/>
      </rPr>
      <t xml:space="preserve">)/ </t>
    </r>
    <r>
      <rPr>
        <sz val="11"/>
        <color rgb="FF000000"/>
        <rFont val="WenQuanYi Zen Hei"/>
        <family val="2"/>
      </rPr>
      <t xml:space="preserve">終值</t>
    </r>
  </si>
  <si>
    <r>
      <rPr>
        <sz val="11"/>
        <color rgb="FF000000"/>
        <rFont val="WenQuanYi Zen Hei"/>
        <family val="2"/>
      </rPr>
      <t xml:space="preserve">習慣上加負號</t>
    </r>
    <r>
      <rPr>
        <sz val="11"/>
        <color rgb="FF000000"/>
        <rFont val="Microsoft JhengHei"/>
        <family val="0"/>
        <charset val="1"/>
      </rPr>
      <t xml:space="preserve">(-pv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Microsoft JhengHei"/>
        <family val="0"/>
        <charset val="1"/>
      </rPr>
      <t xml:space="preserve">-fv),</t>
    </r>
    <r>
      <rPr>
        <sz val="11"/>
        <color rgb="FF000000"/>
        <rFont val="WenQuanYi Zen Hei"/>
        <family val="2"/>
      </rPr>
      <t xml:space="preserve">讓計算結果顯示為正數。</t>
    </r>
  </si>
  <si>
    <t xml:space="preserve">[type]</t>
  </si>
  <si>
    <t xml:space="preserve">付款時點</t>
  </si>
  <si>
    <r>
      <rPr>
        <sz val="11"/>
        <color rgb="FF000000"/>
        <rFont val="Microsoft JhengHei"/>
        <family val="0"/>
        <charset val="1"/>
      </rPr>
      <t xml:space="preserve">1 = </t>
    </r>
    <r>
      <rPr>
        <sz val="11"/>
        <color rgb="FF000000"/>
        <rFont val="WenQuanYi Zen Hei"/>
        <family val="2"/>
      </rPr>
      <t xml:space="preserve">期初</t>
    </r>
    <r>
      <rPr>
        <sz val="11"/>
        <color rgb="FF000000"/>
        <rFont val="Microsoft JhengHei"/>
        <family val="0"/>
        <charset val="1"/>
      </rPr>
      <t xml:space="preserve">;0 </t>
    </r>
    <r>
      <rPr>
        <sz val="11"/>
        <color rgb="FF000000"/>
        <rFont val="WenQuanYi Zen Hei"/>
        <family val="2"/>
      </rPr>
      <t xml:space="preserve">或不填 </t>
    </r>
    <r>
      <rPr>
        <sz val="11"/>
        <color rgb="FF000000"/>
        <rFont val="Microsoft JhengHei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期末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預設</t>
    </r>
    <r>
      <rPr>
        <sz val="11"/>
        <color rgb="FF000000"/>
        <rFont val="Microsoft JhengHe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。</t>
    </r>
  </si>
  <si>
    <r>
      <rPr>
        <b val="true"/>
        <sz val="14"/>
        <color rgb="FF1F4E79"/>
        <rFont val="WenQuanYi Zen Hei"/>
        <family val="2"/>
      </rPr>
      <t xml:space="preserve">範例計算</t>
    </r>
    <r>
      <rPr>
        <b val="true"/>
        <sz val="14"/>
        <color rgb="FF1F4E79"/>
        <rFont val="Microsoft JhengHei"/>
        <family val="0"/>
        <charset val="1"/>
      </rPr>
      <t xml:space="preserve">(</t>
    </r>
    <r>
      <rPr>
        <b val="true"/>
        <sz val="14"/>
        <color rgb="FF1F4E79"/>
        <rFont val="WenQuanYi Zen Hei"/>
        <family val="2"/>
      </rPr>
      <t xml:space="preserve">公式可重算</t>
    </r>
    <r>
      <rPr>
        <b val="true"/>
        <sz val="14"/>
        <color rgb="FF1F4E79"/>
        <rFont val="Microsoft JhengHei"/>
        <family val="0"/>
        <charset val="1"/>
      </rPr>
      <t xml:space="preserve">)</t>
    </r>
  </si>
  <si>
    <r>
      <rPr>
        <sz val="11"/>
        <color rgb="FF808080"/>
        <rFont val="WenQuanYi Zen Hei"/>
        <family val="2"/>
      </rPr>
      <t xml:space="preserve">圖例</t>
    </r>
    <r>
      <rPr>
        <sz val="11"/>
        <color rgb="FF808080"/>
        <rFont val="Microsoft JhengHei"/>
        <family val="0"/>
        <charset val="1"/>
      </rPr>
      <t xml:space="preserve">:</t>
    </r>
    <r>
      <rPr>
        <sz val="11"/>
        <color rgb="FF808080"/>
        <rFont val="WenQuanYi Zen Hei"/>
        <family val="2"/>
      </rPr>
      <t xml:space="preserve">黃底儲存格 </t>
    </r>
    <r>
      <rPr>
        <sz val="11"/>
        <color rgb="FF808080"/>
        <rFont val="Microsoft JhengHei"/>
        <family val="0"/>
        <charset val="1"/>
      </rPr>
      <t xml:space="preserve">= </t>
    </r>
    <r>
      <rPr>
        <sz val="11"/>
        <color rgb="FF808080"/>
        <rFont val="WenQuanYi Zen Hei"/>
        <family val="2"/>
      </rPr>
      <t xml:space="preserve">可修改的輸入值</t>
    </r>
    <r>
      <rPr>
        <sz val="11"/>
        <color rgb="FF808080"/>
        <rFont val="Microsoft JhengHei"/>
        <family val="0"/>
        <charset val="1"/>
      </rPr>
      <t xml:space="preserve">;</t>
    </r>
    <r>
      <rPr>
        <sz val="11"/>
        <color rgb="FF808080"/>
        <rFont val="WenQuanYi Zen Hei"/>
        <family val="2"/>
      </rPr>
      <t xml:space="preserve">其餘數值為公式</t>
    </r>
    <r>
      <rPr>
        <sz val="11"/>
        <color rgb="FF808080"/>
        <rFont val="Microsoft JhengHei"/>
        <family val="0"/>
        <charset val="1"/>
      </rPr>
      <t xml:space="preserve">,</t>
    </r>
    <r>
      <rPr>
        <sz val="11"/>
        <color rgb="FF808080"/>
        <rFont val="WenQuanYi Zen Hei"/>
        <family val="2"/>
      </rPr>
      <t xml:space="preserve">修改輸入後會自動重算。</t>
    </r>
  </si>
  <si>
    <r>
      <rPr>
        <b val="true"/>
        <sz val="12"/>
        <color rgb="FF1F4E79"/>
        <rFont val="WenQuanYi Zen Hei"/>
        <family val="2"/>
      </rPr>
      <t xml:space="preserve">範例一</t>
    </r>
    <r>
      <rPr>
        <b val="true"/>
        <sz val="12"/>
        <color rgb="FF1F4E79"/>
        <rFont val="Microsoft JhengHei"/>
        <family val="0"/>
        <charset val="1"/>
      </rPr>
      <t xml:space="preserve">:</t>
    </r>
    <r>
      <rPr>
        <b val="true"/>
        <sz val="12"/>
        <color rgb="FF1F4E79"/>
        <rFont val="WenQuanYi Zen Hei"/>
        <family val="2"/>
      </rPr>
      <t xml:space="preserve">信用卡循環利率</t>
    </r>
    <r>
      <rPr>
        <b val="true"/>
        <sz val="12"/>
        <color rgb="FF1F4E79"/>
        <rFont val="Microsoft JhengHei"/>
        <family val="0"/>
        <charset val="1"/>
      </rPr>
      <t xml:space="preserve">(APR → EAR)</t>
    </r>
  </si>
  <si>
    <t xml:space="preserve">數值</t>
  </si>
  <si>
    <r>
      <rPr>
        <b val="true"/>
        <sz val="11"/>
        <color rgb="FFFFFFFF"/>
        <rFont val="WenQuanYi Zen Hei"/>
        <family val="2"/>
      </rPr>
      <t xml:space="preserve">公式 </t>
    </r>
    <r>
      <rPr>
        <b val="true"/>
        <sz val="11"/>
        <color rgb="FFFFFFFF"/>
        <rFont val="Microsoft JhengHei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說明</t>
    </r>
  </si>
  <si>
    <r>
      <rPr>
        <b val="true"/>
        <sz val="11"/>
        <color rgb="FF000000"/>
        <rFont val="WenQuanYi Zen Hei"/>
        <family val="2"/>
      </rPr>
      <t xml:space="preserve">牌告年利率 </t>
    </r>
    <r>
      <rPr>
        <b val="true"/>
        <sz val="11"/>
        <color rgb="FF000000"/>
        <rFont val="Microsoft JhengHei"/>
        <family val="0"/>
        <charset val="1"/>
      </rPr>
      <t xml:space="preserve">APR</t>
    </r>
  </si>
  <si>
    <r>
      <rPr>
        <sz val="11"/>
        <color rgb="FF000000"/>
        <rFont val="WenQuanYi Zen Hei"/>
        <family val="2"/>
      </rPr>
      <t xml:space="preserve">輸入值</t>
    </r>
    <r>
      <rPr>
        <sz val="11"/>
        <color rgb="FF000000"/>
        <rFont val="Microsoft JhengHe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筆記範例</t>
    </r>
    <r>
      <rPr>
        <sz val="11"/>
        <color rgb="FF000000"/>
        <rFont val="Microsoft JhengHei"/>
        <family val="0"/>
        <charset val="1"/>
      </rPr>
      <t xml:space="preserve">:15%)</t>
    </r>
  </si>
  <si>
    <r>
      <rPr>
        <b val="true"/>
        <sz val="11"/>
        <color rgb="FF000000"/>
        <rFont val="WenQuanYi Zen Hei"/>
        <family val="2"/>
      </rPr>
      <t xml:space="preserve">每年複利次數 </t>
    </r>
    <r>
      <rPr>
        <b val="true"/>
        <sz val="11"/>
        <color rgb="FF000000"/>
        <rFont val="Microsoft JhengHei"/>
        <family val="0"/>
        <charset val="1"/>
      </rPr>
      <t xml:space="preserve">n</t>
    </r>
  </si>
  <si>
    <r>
      <rPr>
        <sz val="11"/>
        <color rgb="FF000000"/>
        <rFont val="WenQuanYi Zen Hei"/>
        <family val="2"/>
      </rPr>
      <t xml:space="preserve">每月計息一次 → </t>
    </r>
    <r>
      <rPr>
        <sz val="11"/>
        <color rgb="FF000000"/>
        <rFont val="Microsoft JhengHei"/>
        <family val="0"/>
        <charset val="1"/>
      </rPr>
      <t xml:space="preserve">12</t>
    </r>
  </si>
  <si>
    <r>
      <rPr>
        <b val="true"/>
        <sz val="11"/>
        <color rgb="FF000000"/>
        <rFont val="WenQuanYi Zen Hei"/>
        <family val="2"/>
      </rPr>
      <t xml:space="preserve">有效年利率 </t>
    </r>
    <r>
      <rPr>
        <b val="true"/>
        <sz val="11"/>
        <color rgb="FF000000"/>
        <rFont val="Microsoft JhengHei"/>
        <family val="0"/>
        <charset val="1"/>
      </rPr>
      <t xml:space="preserve">EAR</t>
    </r>
  </si>
  <si>
    <t xml:space="preserve">EAR = (1 + APR/n)^n − 1 = (1.0125)^12 − 1 ≈ 16.08%</t>
  </si>
  <si>
    <r>
      <rPr>
        <b val="true"/>
        <sz val="12"/>
        <color rgb="FF1F4E79"/>
        <rFont val="WenQuanYi Zen Hei"/>
        <family val="2"/>
      </rPr>
      <t xml:space="preserve">範例二</t>
    </r>
    <r>
      <rPr>
        <b val="true"/>
        <sz val="12"/>
        <color rgb="FF1F4E79"/>
        <rFont val="Microsoft JhengHei"/>
        <family val="0"/>
        <charset val="1"/>
      </rPr>
      <t xml:space="preserve">:</t>
    </r>
    <r>
      <rPr>
        <b val="true"/>
        <sz val="12"/>
        <color rgb="FF1F4E79"/>
        <rFont val="WenQuanYi Zen Hei"/>
        <family val="2"/>
      </rPr>
      <t xml:space="preserve">房貸本利平均攤還</t>
    </r>
    <r>
      <rPr>
        <b val="true"/>
        <sz val="12"/>
        <color rgb="FF1F4E79"/>
        <rFont val="Microsoft JhengHei"/>
        <family val="0"/>
        <charset val="1"/>
      </rPr>
      <t xml:space="preserve">(PMT)</t>
    </r>
  </si>
  <si>
    <r>
      <rPr>
        <sz val="11"/>
        <color rgb="FF1F4E79"/>
        <rFont val="WenQuanYi Zen Hei"/>
        <family val="2"/>
      </rPr>
      <t xml:space="preserve">題目</t>
    </r>
    <r>
      <rPr>
        <sz val="11"/>
        <color rgb="FF1F4E79"/>
        <rFont val="Microsoft JhengHei"/>
        <family val="0"/>
        <charset val="1"/>
      </rPr>
      <t xml:space="preserve">:</t>
    </r>
    <r>
      <rPr>
        <sz val="11"/>
        <color rgb="FF1F4E79"/>
        <rFont val="WenQuanYi Zen Hei"/>
        <family val="2"/>
      </rPr>
      <t xml:space="preserve">貸款 </t>
    </r>
    <r>
      <rPr>
        <sz val="11"/>
        <color rgb="FF1F4E79"/>
        <rFont val="Microsoft JhengHei"/>
        <family val="0"/>
        <charset val="1"/>
      </rPr>
      <t xml:space="preserve">1,000 </t>
    </r>
    <r>
      <rPr>
        <sz val="11"/>
        <color rgb="FF1F4E79"/>
        <rFont val="WenQuanYi Zen Hei"/>
        <family val="2"/>
      </rPr>
      <t xml:space="preserve">萬</t>
    </r>
    <r>
      <rPr>
        <sz val="11"/>
        <color rgb="FF1F4E79"/>
        <rFont val="Microsoft JhengHei"/>
        <family val="0"/>
        <charset val="1"/>
      </rPr>
      <t xml:space="preserve">,20 </t>
    </r>
    <r>
      <rPr>
        <sz val="11"/>
        <color rgb="FF1F4E79"/>
        <rFont val="WenQuanYi Zen Hei"/>
        <family val="2"/>
      </rPr>
      <t xml:space="preserve">年期</t>
    </r>
    <r>
      <rPr>
        <sz val="11"/>
        <color rgb="FF1F4E79"/>
        <rFont val="Microsoft JhengHei"/>
        <family val="0"/>
        <charset val="1"/>
      </rPr>
      <t xml:space="preserve">,APR = 2.185%,</t>
    </r>
    <r>
      <rPr>
        <sz val="11"/>
        <color rgb="FF1F4E79"/>
        <rFont val="WenQuanYi Zen Hei"/>
        <family val="2"/>
      </rPr>
      <t xml:space="preserve">按月計息</t>
    </r>
    <r>
      <rPr>
        <sz val="11"/>
        <color rgb="FF1F4E79"/>
        <rFont val="Microsoft JhengHei"/>
        <family val="0"/>
        <charset val="1"/>
      </rPr>
      <t xml:space="preserve">,</t>
    </r>
    <r>
      <rPr>
        <sz val="11"/>
        <color rgb="FF1F4E79"/>
        <rFont val="WenQuanYi Zen Hei"/>
        <family val="2"/>
      </rPr>
      <t xml:space="preserve">每月還多少</t>
    </r>
    <r>
      <rPr>
        <sz val="11"/>
        <color rgb="FF1F4E79"/>
        <rFont val="Microsoft JhengHei"/>
        <family val="0"/>
        <charset val="1"/>
      </rPr>
      <t xml:space="preserve">?</t>
    </r>
  </si>
  <si>
    <r>
      <rPr>
        <b val="true"/>
        <sz val="11"/>
        <color rgb="FF000000"/>
        <rFont val="WenQuanYi Zen Hei"/>
        <family val="2"/>
      </rPr>
      <t xml:space="preserve">貸款金額</t>
    </r>
    <r>
      <rPr>
        <b val="true"/>
        <sz val="11"/>
        <color rgb="FF000000"/>
        <rFont val="Microsoft JhengHei"/>
        <family val="0"/>
        <charset val="1"/>
      </rPr>
      <t xml:space="preserve">(PV)</t>
    </r>
  </si>
  <si>
    <r>
      <rPr>
        <sz val="11"/>
        <color rgb="FF000000"/>
        <rFont val="WenQuanYi Zen Hei"/>
        <family val="2"/>
      </rPr>
      <t xml:space="preserve">輸入值</t>
    </r>
    <r>
      <rPr>
        <sz val="11"/>
        <color rgb="FF000000"/>
        <rFont val="Microsoft JhengHei"/>
        <family val="0"/>
        <charset val="1"/>
      </rPr>
      <t xml:space="preserve">:1,000 </t>
    </r>
    <r>
      <rPr>
        <sz val="11"/>
        <color rgb="FF000000"/>
        <rFont val="WenQuanYi Zen Hei"/>
        <family val="2"/>
      </rPr>
      <t xml:space="preserve">萬元</t>
    </r>
  </si>
  <si>
    <r>
      <rPr>
        <sz val="11"/>
        <color rgb="FF000000"/>
        <rFont val="WenQuanYi Zen Hei"/>
        <family val="2"/>
      </rPr>
      <t xml:space="preserve">輸入值</t>
    </r>
    <r>
      <rPr>
        <sz val="11"/>
        <color rgb="FF000000"/>
        <rFont val="Microsoft JhengHei"/>
        <family val="0"/>
        <charset val="1"/>
      </rPr>
      <t xml:space="preserve">:2.185%,</t>
    </r>
    <r>
      <rPr>
        <sz val="11"/>
        <color rgb="FF000000"/>
        <rFont val="WenQuanYi Zen Hei"/>
        <family val="2"/>
      </rPr>
      <t xml:space="preserve">按月計息</t>
    </r>
  </si>
  <si>
    <t xml:space="preserve">年期</t>
  </si>
  <si>
    <r>
      <rPr>
        <sz val="11"/>
        <color rgb="FF000000"/>
        <rFont val="WenQuanYi Zen Hei"/>
        <family val="2"/>
      </rPr>
      <t xml:space="preserve">輸入值</t>
    </r>
    <r>
      <rPr>
        <sz val="11"/>
        <color rgb="FF000000"/>
        <rFont val="Microsoft JhengHei"/>
        <family val="0"/>
        <charset val="1"/>
      </rPr>
      <t xml:space="preserve">:20 </t>
    </r>
    <r>
      <rPr>
        <sz val="11"/>
        <color rgb="FF000000"/>
        <rFont val="WenQuanYi Zen Hei"/>
        <family val="2"/>
      </rPr>
      <t xml:space="preserve">年</t>
    </r>
  </si>
  <si>
    <r>
      <rPr>
        <b val="true"/>
        <sz val="11"/>
        <color rgb="FF000000"/>
        <rFont val="WenQuanYi Zen Hei"/>
        <family val="2"/>
      </rPr>
      <t xml:space="preserve">每期利率 </t>
    </r>
    <r>
      <rPr>
        <b val="true"/>
        <sz val="11"/>
        <color rgb="FF000000"/>
        <rFont val="Microsoft JhengHei"/>
        <family val="0"/>
        <charset val="1"/>
      </rPr>
      <t xml:space="preserve">rate</t>
    </r>
  </si>
  <si>
    <r>
      <rPr>
        <sz val="11"/>
        <color rgb="FF000000"/>
        <rFont val="WenQuanYi Zen Hei"/>
        <family val="2"/>
      </rPr>
      <t xml:space="preserve">月利率 </t>
    </r>
    <r>
      <rPr>
        <sz val="11"/>
        <color rgb="FF000000"/>
        <rFont val="Microsoft JhengHei"/>
        <family val="0"/>
        <charset val="1"/>
      </rPr>
      <t xml:space="preserve">= APR ÷ 12</t>
    </r>
  </si>
  <si>
    <r>
      <rPr>
        <b val="true"/>
        <sz val="11"/>
        <color rgb="FF000000"/>
        <rFont val="WenQuanYi Zen Hei"/>
        <family val="2"/>
      </rPr>
      <t xml:space="preserve">總期數 </t>
    </r>
    <r>
      <rPr>
        <b val="true"/>
        <sz val="11"/>
        <color rgb="FF000000"/>
        <rFont val="Microsoft JhengHei"/>
        <family val="0"/>
        <charset val="1"/>
      </rPr>
      <t xml:space="preserve">nper</t>
    </r>
  </si>
  <si>
    <r>
      <rPr>
        <sz val="11"/>
        <color rgb="FF000000"/>
        <rFont val="Microsoft JhengHei"/>
        <family val="0"/>
        <charset val="1"/>
      </rPr>
      <t xml:space="preserve">12 × 20 = 240 </t>
    </r>
    <r>
      <rPr>
        <sz val="11"/>
        <color rgb="FF000000"/>
        <rFont val="WenQuanYi Zen Hei"/>
        <family val="2"/>
      </rPr>
      <t xml:space="preserve">期</t>
    </r>
  </si>
  <si>
    <r>
      <rPr>
        <b val="true"/>
        <sz val="11"/>
        <color rgb="FF000000"/>
        <rFont val="WenQuanYi Zen Hei"/>
        <family val="2"/>
      </rPr>
      <t xml:space="preserve">每月償還金額 </t>
    </r>
    <r>
      <rPr>
        <b val="true"/>
        <sz val="11"/>
        <color rgb="FF000000"/>
        <rFont val="Microsoft JhengHei"/>
        <family val="0"/>
        <charset val="1"/>
      </rPr>
      <t xml:space="preserve">PMT</t>
    </r>
  </si>
  <si>
    <t xml:space="preserve">=PMT(0.02185/12, 12×20, -10000000) ≈ 51,469</t>
  </si>
  <si>
    <r>
      <rPr>
        <b val="true"/>
        <sz val="11"/>
        <color rgb="FF000000"/>
        <rFont val="WenQuanYi Zen Hei"/>
        <family val="2"/>
      </rPr>
      <t xml:space="preserve">驗算</t>
    </r>
    <r>
      <rPr>
        <b val="true"/>
        <sz val="11"/>
        <color rgb="FF000000"/>
        <rFont val="Microsoft JhengHei"/>
        <family val="0"/>
        <charset val="1"/>
      </rPr>
      <t xml:space="preserve">:PMT </t>
    </r>
    <r>
      <rPr>
        <b val="true"/>
        <sz val="11"/>
        <color rgb="FF000000"/>
        <rFont val="WenQuanYi Zen Hei"/>
        <family val="2"/>
      </rPr>
      <t xml:space="preserve">折現回 </t>
    </r>
    <r>
      <rPr>
        <b val="true"/>
        <sz val="11"/>
        <color rgb="FF000000"/>
        <rFont val="Microsoft JhengHei"/>
        <family val="0"/>
        <charset val="1"/>
      </rPr>
      <t xml:space="preserve">PV</t>
    </r>
  </si>
  <si>
    <r>
      <rPr>
        <sz val="11"/>
        <color rgb="FF000000"/>
        <rFont val="Microsoft JhengHei"/>
        <family val="0"/>
        <charset val="1"/>
      </rPr>
      <t xml:space="preserve">=PV(rate, nper, -pmt) </t>
    </r>
    <r>
      <rPr>
        <sz val="11"/>
        <color rgb="FF000000"/>
        <rFont val="WenQuanYi Zen Hei"/>
        <family val="2"/>
      </rPr>
      <t xml:space="preserve">應回到貸款金額 </t>
    </r>
    <r>
      <rPr>
        <sz val="11"/>
        <color rgb="FF000000"/>
        <rFont val="Microsoft JhengHei"/>
        <family val="0"/>
        <charset val="1"/>
      </rPr>
      <t xml:space="preserve">1,000 </t>
    </r>
    <r>
      <rPr>
        <sz val="11"/>
        <color rgb="FF000000"/>
        <rFont val="WenQuanYi Zen Hei"/>
        <family val="2"/>
      </rPr>
      <t xml:space="preserve">萬</t>
    </r>
  </si>
  <si>
    <r>
      <rPr>
        <sz val="11"/>
        <color rgb="FF1F4E79"/>
        <rFont val="WenQuanYi Zen Hei"/>
        <family val="2"/>
      </rPr>
      <t xml:space="preserve">觀念</t>
    </r>
    <r>
      <rPr>
        <sz val="11"/>
        <color rgb="FF1F4E79"/>
        <rFont val="Microsoft JhengHei"/>
        <family val="0"/>
        <charset val="1"/>
      </rPr>
      <t xml:space="preserve">:</t>
    </r>
    <r>
      <rPr>
        <sz val="11"/>
        <color rgb="FF1F4E79"/>
        <rFont val="WenQuanYi Zen Hei"/>
        <family val="2"/>
      </rPr>
      <t xml:space="preserve">借到的錢</t>
    </r>
    <r>
      <rPr>
        <sz val="11"/>
        <color rgb="FF1F4E79"/>
        <rFont val="Microsoft JhengHei"/>
        <family val="0"/>
        <charset val="1"/>
      </rPr>
      <t xml:space="preserve">(</t>
    </r>
    <r>
      <rPr>
        <sz val="11"/>
        <color rgb="FF1F4E79"/>
        <rFont val="WenQuanYi Zen Hei"/>
        <family val="2"/>
      </rPr>
      <t xml:space="preserve">貸款</t>
    </r>
    <r>
      <rPr>
        <sz val="11"/>
        <color rgb="FF1F4E79"/>
        <rFont val="Microsoft JhengHei"/>
        <family val="0"/>
        <charset val="1"/>
      </rPr>
      <t xml:space="preserve">,PV)= </t>
    </r>
    <r>
      <rPr>
        <sz val="11"/>
        <color rgb="FF1F4E79"/>
        <rFont val="WenQuanYi Zen Hei"/>
        <family val="2"/>
      </rPr>
      <t xml:space="preserve">未來每期期末償還金額</t>
    </r>
    <r>
      <rPr>
        <sz val="11"/>
        <color rgb="FF1F4E79"/>
        <rFont val="Microsoft JhengHei"/>
        <family val="0"/>
        <charset val="1"/>
      </rPr>
      <t xml:space="preserve">(PMT)</t>
    </r>
    <r>
      <rPr>
        <sz val="11"/>
        <color rgb="FF1F4E79"/>
        <rFont val="WenQuanYi Zen Hei"/>
        <family val="2"/>
      </rPr>
      <t xml:space="preserve">以貸款利率</t>
    </r>
    <r>
      <rPr>
        <sz val="11"/>
        <color rgb="FF1F4E79"/>
        <rFont val="Microsoft JhengHei"/>
        <family val="0"/>
        <charset val="1"/>
      </rPr>
      <t xml:space="preserve">(r)</t>
    </r>
    <r>
      <rPr>
        <sz val="11"/>
        <color rgb="FF1F4E79"/>
        <rFont val="WenQuanYi Zen Hei"/>
        <family val="2"/>
      </rPr>
      <t xml:space="preserve">折現的現值。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</si>
</sst>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"/>
    <numFmt numFmtId="167" formatCode="#,##0"/>
    <numFmt numFmtId="168" formatCode="0.000%"/>
    <numFmt numFmtId="169" formatCode="0.00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WenQuanYi Zen Hei"/>
      <family val="2"/>
    </font>
    <font>
      <sz val="11"/>
      <color rgb="FF808080"/>
      <name val="WenQuanYi Zen Hei"/>
      <family val="2"/>
    </font>
    <font>
      <sz val="11"/>
      <color rgb="FF808080"/>
      <name val="Microsoft JhengHei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Microsoft JhengHei"/>
      <family val="0"/>
      <charset val="1"/>
    </font>
    <font>
      <b val="true"/>
      <sz val="11"/>
      <color rgb="FF000000"/>
      <name val="WenQuanYi Zen Hei"/>
      <family val="2"/>
    </font>
    <font>
      <sz val="11"/>
      <color rgb="FF000000"/>
      <name val="Microsoft JhengHei"/>
      <family val="0"/>
      <charset val="1"/>
    </font>
    <font>
      <sz val="11"/>
      <color rgb="FF000000"/>
      <name val="WenQuanYi Zen Hei"/>
      <family val="2"/>
    </font>
    <font>
      <b val="true"/>
      <sz val="11"/>
      <color rgb="FF000000"/>
      <name val="Microsoft JhengHei"/>
      <family val="0"/>
      <charset val="1"/>
    </font>
    <font>
      <b val="true"/>
      <sz val="12"/>
      <color rgb="FF1F4E79"/>
      <name val="WenQuanYi Zen Hei"/>
      <family val="2"/>
    </font>
    <font>
      <b val="true"/>
      <sz val="12"/>
      <color rgb="FF1F4E79"/>
      <name val="Microsoft JhengHei"/>
      <family val="0"/>
      <charset val="1"/>
    </font>
    <font>
      <b val="true"/>
      <sz val="14"/>
      <color rgb="FF1F4E79"/>
      <name val="Microsoft JhengHei"/>
      <family val="0"/>
      <charset val="1"/>
    </font>
    <font>
      <b val="true"/>
      <sz val="11"/>
      <name val="Microsoft JhengHei"/>
      <family val="0"/>
      <charset val="1"/>
    </font>
    <font>
      <sz val="11"/>
      <color rgb="FF1F4E79"/>
      <name val="WenQuanYi Zen Hei"/>
      <family val="2"/>
    </font>
    <font>
      <sz val="11"/>
      <color rgb="FF1F4E79"/>
      <name val="Microsoft JhengHei"/>
      <family val="0"/>
      <charset val="1"/>
    </font>
    <font>
      <sz val="11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3.75" hidden="false" customHeight="true" outlineLevel="0" collapsed="false">
      <c r="A5" s="4" t="s">
        <v>6</v>
      </c>
      <c r="B5" s="5" t="s">
        <v>7</v>
      </c>
      <c r="C5" s="6" t="s">
        <v>8</v>
      </c>
      <c r="D5" s="7" t="s">
        <v>9</v>
      </c>
    </row>
    <row r="6" customFormat="false" ht="33.75" hidden="false" customHeight="true" outlineLevel="0" collapsed="false">
      <c r="A6" s="4" t="s">
        <v>10</v>
      </c>
      <c r="B6" s="5" t="s">
        <v>11</v>
      </c>
      <c r="C6" s="6" t="s">
        <v>12</v>
      </c>
      <c r="D6" s="7" t="s">
        <v>13</v>
      </c>
    </row>
    <row r="7" customFormat="false" ht="33.75" hidden="false" customHeight="true" outlineLevel="0" collapsed="false">
      <c r="A7" s="4" t="s">
        <v>14</v>
      </c>
      <c r="B7" s="5" t="s">
        <v>15</v>
      </c>
      <c r="C7" s="6" t="s">
        <v>16</v>
      </c>
      <c r="D7" s="7" t="s">
        <v>17</v>
      </c>
    </row>
    <row r="8" customFormat="false" ht="33.75" hidden="false" customHeight="true" outlineLevel="0" collapsed="false">
      <c r="A8" s="4" t="s">
        <v>18</v>
      </c>
      <c r="B8" s="5" t="s">
        <v>19</v>
      </c>
      <c r="C8" s="6" t="s">
        <v>20</v>
      </c>
      <c r="D8" s="7" t="s">
        <v>21</v>
      </c>
    </row>
    <row r="9" customFormat="false" ht="33.75" hidden="false" customHeight="true" outlineLevel="0" collapsed="false">
      <c r="A9" s="4" t="s">
        <v>22</v>
      </c>
      <c r="B9" s="5" t="s">
        <v>23</v>
      </c>
      <c r="C9" s="6" t="s">
        <v>24</v>
      </c>
      <c r="D9" s="7" t="s">
        <v>25</v>
      </c>
    </row>
    <row r="10" customFormat="false" ht="33.75" hidden="false" customHeight="true" outlineLevel="0" collapsed="false">
      <c r="A10" s="4" t="s">
        <v>26</v>
      </c>
      <c r="B10" s="5" t="s">
        <v>27</v>
      </c>
      <c r="C10" s="6" t="s">
        <v>28</v>
      </c>
      <c r="D10" s="7" t="s">
        <v>29</v>
      </c>
    </row>
    <row r="11" customFormat="false" ht="33.75" hidden="false" customHeight="true" outlineLevel="0" collapsed="false">
      <c r="A11" s="4" t="s">
        <v>30</v>
      </c>
      <c r="B11" s="5" t="s">
        <v>31</v>
      </c>
      <c r="C11" s="6" t="s">
        <v>32</v>
      </c>
      <c r="D11" s="7" t="s">
        <v>33</v>
      </c>
    </row>
    <row r="12" customFormat="false" ht="33.75" hidden="false" customHeight="true" outlineLevel="0" collapsed="false">
      <c r="A12" s="4" t="s">
        <v>34</v>
      </c>
      <c r="B12" s="5" t="s">
        <v>35</v>
      </c>
      <c r="C12" s="6" t="s">
        <v>36</v>
      </c>
      <c r="D12" s="7" t="s">
        <v>37</v>
      </c>
    </row>
    <row r="13" customFormat="false" ht="33.75" hidden="false" customHeight="true" outlineLevel="0" collapsed="false">
      <c r="A13" s="4" t="s">
        <v>38</v>
      </c>
      <c r="B13" s="5" t="s">
        <v>8</v>
      </c>
      <c r="C13" s="6" t="s">
        <v>8</v>
      </c>
      <c r="D13" s="7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40</v>
      </c>
      <c r="B1" s="1"/>
      <c r="C1" s="1"/>
    </row>
    <row r="3" customFormat="false" ht="15" hidden="false" customHeight="false" outlineLevel="0" collapsed="false">
      <c r="A3" s="8" t="s">
        <v>41</v>
      </c>
      <c r="B3" s="8"/>
      <c r="C3" s="8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4" t="s">
        <v>45</v>
      </c>
      <c r="B5" s="5" t="s">
        <v>46</v>
      </c>
      <c r="C5" s="7" t="s">
        <v>47</v>
      </c>
    </row>
    <row r="6" customFormat="false" ht="30" hidden="false" customHeight="true" outlineLevel="0" collapsed="false">
      <c r="A6" s="4" t="s">
        <v>48</v>
      </c>
      <c r="B6" s="5" t="s">
        <v>49</v>
      </c>
      <c r="C6" s="7" t="s">
        <v>50</v>
      </c>
    </row>
    <row r="8" customFormat="false" ht="16.4" hidden="false" customHeight="false" outlineLevel="0" collapsed="false">
      <c r="A8" s="8" t="s">
        <v>51</v>
      </c>
      <c r="B8" s="8"/>
      <c r="C8" s="8"/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44</v>
      </c>
    </row>
    <row r="10" customFormat="false" ht="33.75" hidden="false" customHeight="true" outlineLevel="0" collapsed="false">
      <c r="A10" s="9" t="s">
        <v>52</v>
      </c>
      <c r="B10" s="5" t="s">
        <v>53</v>
      </c>
      <c r="C10" s="5" t="s">
        <v>54</v>
      </c>
    </row>
    <row r="11" customFormat="false" ht="33.75" hidden="false" customHeight="true" outlineLevel="0" collapsed="false">
      <c r="A11" s="4" t="s">
        <v>55</v>
      </c>
      <c r="B11" s="5" t="s">
        <v>56</v>
      </c>
      <c r="C11" s="7" t="s">
        <v>57</v>
      </c>
    </row>
    <row r="12" customFormat="false" ht="33.75" hidden="false" customHeight="true" outlineLevel="0" collapsed="false">
      <c r="A12" s="4" t="s">
        <v>58</v>
      </c>
      <c r="B12" s="5" t="s">
        <v>59</v>
      </c>
      <c r="C12" s="7" t="s">
        <v>60</v>
      </c>
    </row>
    <row r="13" customFormat="false" ht="33.75" hidden="false" customHeight="true" outlineLevel="0" collapsed="false">
      <c r="A13" s="4" t="s">
        <v>61</v>
      </c>
      <c r="B13" s="5" t="s">
        <v>62</v>
      </c>
      <c r="C13" s="7" t="s">
        <v>63</v>
      </c>
    </row>
    <row r="15" customFormat="false" ht="16.4" hidden="false" customHeight="false" outlineLevel="0" collapsed="false">
      <c r="A15" s="8" t="s">
        <v>64</v>
      </c>
      <c r="B15" s="8"/>
      <c r="C15" s="8"/>
    </row>
    <row r="16" customFormat="false" ht="15" hidden="false" customHeight="false" outlineLevel="0" collapsed="false">
      <c r="A16" s="3" t="s">
        <v>65</v>
      </c>
      <c r="B16" s="3" t="s">
        <v>66</v>
      </c>
      <c r="C16" s="3" t="s">
        <v>67</v>
      </c>
    </row>
    <row r="17" customFormat="false" ht="30" hidden="false" customHeight="true" outlineLevel="0" collapsed="false">
      <c r="A17" s="4" t="s">
        <v>68</v>
      </c>
      <c r="B17" s="5" t="s">
        <v>69</v>
      </c>
      <c r="C17" s="7" t="s">
        <v>70</v>
      </c>
    </row>
    <row r="18" customFormat="false" ht="30" hidden="false" customHeight="true" outlineLevel="0" collapsed="false">
      <c r="A18" s="4" t="s">
        <v>71</v>
      </c>
      <c r="B18" s="5" t="s">
        <v>72</v>
      </c>
      <c r="C18" s="7" t="s">
        <v>73</v>
      </c>
    </row>
    <row r="19" customFormat="false" ht="30" hidden="false" customHeight="true" outlineLevel="0" collapsed="false">
      <c r="A19" s="4" t="s">
        <v>74</v>
      </c>
      <c r="B19" s="5" t="s">
        <v>75</v>
      </c>
      <c r="C19" s="7" t="s">
        <v>76</v>
      </c>
    </row>
    <row r="21" customFormat="false" ht="15" hidden="false" customHeight="false" outlineLevel="0" collapsed="false">
      <c r="A21" s="8" t="s">
        <v>77</v>
      </c>
      <c r="B21" s="8"/>
      <c r="C21" s="8"/>
    </row>
    <row r="22" customFormat="false" ht="15" hidden="false" customHeight="false" outlineLevel="0" collapsed="false">
      <c r="A22" s="3" t="s">
        <v>78</v>
      </c>
      <c r="B22" s="3" t="s">
        <v>79</v>
      </c>
      <c r="C22" s="3" t="s">
        <v>80</v>
      </c>
    </row>
    <row r="23" customFormat="false" ht="30" hidden="false" customHeight="true" outlineLevel="0" collapsed="false">
      <c r="A23" s="9" t="s">
        <v>81</v>
      </c>
      <c r="B23" s="7" t="s">
        <v>82</v>
      </c>
      <c r="C23" s="7" t="s">
        <v>83</v>
      </c>
    </row>
    <row r="24" customFormat="false" ht="30" hidden="false" customHeight="true" outlineLevel="0" collapsed="false">
      <c r="A24" s="9" t="s">
        <v>84</v>
      </c>
      <c r="B24" s="7" t="s">
        <v>26</v>
      </c>
      <c r="C24" s="7" t="s">
        <v>85</v>
      </c>
    </row>
    <row r="25" customFormat="false" ht="30" hidden="false" customHeight="true" outlineLevel="0" collapsed="false">
      <c r="A25" s="9" t="s">
        <v>86</v>
      </c>
      <c r="B25" s="7" t="s">
        <v>87</v>
      </c>
      <c r="C25" s="7" t="s">
        <v>88</v>
      </c>
    </row>
    <row r="26" customFormat="false" ht="30" hidden="false" customHeight="true" outlineLevel="0" collapsed="false">
      <c r="A26" s="9" t="s">
        <v>89</v>
      </c>
      <c r="B26" s="7" t="s">
        <v>90</v>
      </c>
      <c r="C26" s="7" t="s">
        <v>91</v>
      </c>
    </row>
    <row r="27" customFormat="false" ht="30" hidden="false" customHeight="true" outlineLevel="0" collapsed="false">
      <c r="A27" s="9" t="s">
        <v>92</v>
      </c>
      <c r="B27" s="7" t="s">
        <v>93</v>
      </c>
      <c r="C27" s="5" t="s">
        <v>94</v>
      </c>
    </row>
  </sheetData>
  <mergeCells count="5">
    <mergeCell ref="A1:C1"/>
    <mergeCell ref="A3:C3"/>
    <mergeCell ref="A8:C8"/>
    <mergeCell ref="A15:C15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0"/>
  </cols>
  <sheetData>
    <row r="1" customFormat="false" ht="19.4" hidden="false" customHeight="false" outlineLevel="0" collapsed="false">
      <c r="A1" s="1" t="s">
        <v>95</v>
      </c>
      <c r="B1" s="1"/>
      <c r="C1" s="1"/>
      <c r="D1" s="1"/>
    </row>
    <row r="2" customFormat="false" ht="15" hidden="false" customHeight="false" outlineLevel="0" collapsed="false">
      <c r="A2" s="2" t="s">
        <v>96</v>
      </c>
    </row>
    <row r="4" customFormat="false" ht="16.4" hidden="false" customHeight="false" outlineLevel="0" collapsed="false">
      <c r="A4" s="8" t="s">
        <v>97</v>
      </c>
      <c r="B4" s="8"/>
      <c r="C4" s="8"/>
      <c r="D4" s="8"/>
    </row>
    <row r="5" customFormat="false" ht="15" hidden="false" customHeight="false" outlineLevel="0" collapsed="false">
      <c r="A5" s="3" t="s">
        <v>42</v>
      </c>
      <c r="B5" s="3" t="s">
        <v>98</v>
      </c>
      <c r="C5" s="3" t="s">
        <v>99</v>
      </c>
    </row>
    <row r="6" customFormat="false" ht="15" hidden="false" customHeight="false" outlineLevel="0" collapsed="false">
      <c r="A6" s="4" t="s">
        <v>100</v>
      </c>
      <c r="B6" s="10" t="n">
        <v>0.15</v>
      </c>
      <c r="C6" s="7" t="s">
        <v>101</v>
      </c>
    </row>
    <row r="7" customFormat="false" ht="15" hidden="false" customHeight="false" outlineLevel="0" collapsed="false">
      <c r="A7" s="4" t="s">
        <v>102</v>
      </c>
      <c r="B7" s="11" t="n">
        <v>12</v>
      </c>
      <c r="C7" s="7" t="s">
        <v>103</v>
      </c>
    </row>
    <row r="8" customFormat="false" ht="28.35" hidden="false" customHeight="false" outlineLevel="0" collapsed="false">
      <c r="A8" s="4" t="s">
        <v>104</v>
      </c>
      <c r="B8" s="12" t="n">
        <f aca="false">(1+B6/B7)^B7-1</f>
        <v>0.160754517722998</v>
      </c>
      <c r="C8" s="5" t="s">
        <v>105</v>
      </c>
    </row>
    <row r="10" customFormat="false" ht="16.4" hidden="false" customHeight="false" outlineLevel="0" collapsed="false">
      <c r="A10" s="8" t="s">
        <v>106</v>
      </c>
      <c r="B10" s="8"/>
      <c r="C10" s="8"/>
      <c r="D10" s="8"/>
    </row>
    <row r="11" customFormat="false" ht="15" hidden="false" customHeight="true" outlineLevel="0" collapsed="false">
      <c r="A11" s="13" t="s">
        <v>107</v>
      </c>
      <c r="B11" s="13"/>
      <c r="C11" s="13"/>
      <c r="D11" s="13"/>
    </row>
    <row r="12" customFormat="false" ht="15" hidden="false" customHeight="false" outlineLevel="0" collapsed="false">
      <c r="A12" s="3" t="s">
        <v>42</v>
      </c>
      <c r="B12" s="3" t="s">
        <v>98</v>
      </c>
      <c r="C12" s="3" t="s">
        <v>99</v>
      </c>
    </row>
    <row r="13" customFormat="false" ht="15" hidden="false" customHeight="false" outlineLevel="0" collapsed="false">
      <c r="A13" s="4" t="s">
        <v>108</v>
      </c>
      <c r="B13" s="14" t="n">
        <v>10000000</v>
      </c>
      <c r="C13" s="7" t="s">
        <v>109</v>
      </c>
    </row>
    <row r="14" customFormat="false" ht="15" hidden="false" customHeight="false" outlineLevel="0" collapsed="false">
      <c r="A14" s="4" t="s">
        <v>100</v>
      </c>
      <c r="B14" s="15" t="n">
        <v>0.02185</v>
      </c>
      <c r="C14" s="7" t="s">
        <v>110</v>
      </c>
    </row>
    <row r="15" customFormat="false" ht="15" hidden="false" customHeight="false" outlineLevel="0" collapsed="false">
      <c r="A15" s="4" t="s">
        <v>111</v>
      </c>
      <c r="B15" s="11" t="n">
        <v>20</v>
      </c>
      <c r="C15" s="7" t="s">
        <v>112</v>
      </c>
    </row>
    <row r="16" customFormat="false" ht="15" hidden="false" customHeight="false" outlineLevel="0" collapsed="false">
      <c r="A16" s="4" t="s">
        <v>113</v>
      </c>
      <c r="B16" s="16" t="n">
        <f aca="false">B14/12</f>
        <v>0.00182083333333333</v>
      </c>
      <c r="C16" s="7" t="s">
        <v>114</v>
      </c>
    </row>
    <row r="17" customFormat="false" ht="15" hidden="false" customHeight="false" outlineLevel="0" collapsed="false">
      <c r="A17" s="4" t="s">
        <v>115</v>
      </c>
      <c r="B17" s="17" t="n">
        <f aca="false">B15*12</f>
        <v>240</v>
      </c>
      <c r="C17" s="5" t="s">
        <v>116</v>
      </c>
    </row>
    <row r="18" customFormat="false" ht="15" hidden="false" customHeight="false" outlineLevel="0" collapsed="false">
      <c r="A18" s="4" t="s">
        <v>117</v>
      </c>
      <c r="B18" s="18" t="n">
        <f aca="false">PMT(B16,B17,-B13)</f>
        <v>51469.1444873043</v>
      </c>
      <c r="C18" s="5" t="s">
        <v>118</v>
      </c>
    </row>
    <row r="19" customFormat="false" ht="15" hidden="false" customHeight="false" outlineLevel="0" collapsed="false">
      <c r="A19" s="4" t="s">
        <v>119</v>
      </c>
      <c r="B19" s="19" t="n">
        <f aca="false">PV(B16,B17,-B18)</f>
        <v>10000000.0000002</v>
      </c>
      <c r="C19" s="5" t="s">
        <v>120</v>
      </c>
    </row>
    <row r="21" customFormat="false" ht="15" hidden="false" customHeight="true" outlineLevel="0" collapsed="false">
      <c r="A21" s="13" t="s">
        <v>121</v>
      </c>
      <c r="B21" s="13"/>
      <c r="C21" s="13"/>
      <c r="D21" s="13"/>
    </row>
  </sheetData>
  <mergeCells count="5">
    <mergeCell ref="A1:D1"/>
    <mergeCell ref="A4:D4"/>
    <mergeCell ref="A10:D10"/>
    <mergeCell ref="A11:D1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2026-07-19T05:53:42Z</dcterms:created>
  <dc:creator>openpyxl</dc:creator>
  <dc:description/>
  <dc:language>en-US</dc:language>
  <cp:lastModifiedBy/>
  <dcterms:modified xsi:type="dcterms:W3CDTF">2026-07-19T05:53:42Z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